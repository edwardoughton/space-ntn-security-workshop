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oughton\Dropbox\Academic Projects\NSF NTN Security Workshop\"/>
    </mc:Choice>
  </mc:AlternateContent>
  <xr:revisionPtr revIDLastSave="0" documentId="8_{EFC0CD97-F996-4E45-A99B-C82F80FF3512}" xr6:coauthVersionLast="47" xr6:coauthVersionMax="47" xr10:uidLastSave="{00000000-0000-0000-0000-000000000000}"/>
  <bookViews>
    <workbookView xWindow="30612" yWindow="-48" windowWidth="30936" windowHeight="16776" xr2:uid="{00000000-000D-0000-FFFF-FFFF00000000}"/>
  </bookViews>
  <sheets>
    <sheet name="Organizing Committee" sheetId="1" r:id="rId1"/>
    <sheet name="Advisory Committee" sheetId="2" r:id="rId2"/>
    <sheet name="Review Guide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" i="2" l="1"/>
  <c r="I16" i="2"/>
  <c r="H16" i="2"/>
  <c r="Q15" i="2"/>
  <c r="I15" i="2"/>
  <c r="H15" i="2"/>
  <c r="Q14" i="2"/>
  <c r="I14" i="2"/>
  <c r="H14" i="2"/>
  <c r="Q13" i="2"/>
  <c r="I13" i="2"/>
  <c r="H13" i="2"/>
  <c r="Q12" i="2"/>
  <c r="I12" i="2"/>
  <c r="H12" i="2"/>
  <c r="Q11" i="2"/>
  <c r="I11" i="2"/>
  <c r="H11" i="2"/>
  <c r="Q10" i="2"/>
  <c r="I10" i="2"/>
  <c r="H10" i="2"/>
  <c r="Q9" i="2"/>
  <c r="I9" i="2"/>
  <c r="H9" i="2"/>
  <c r="Q8" i="2"/>
  <c r="I8" i="2"/>
  <c r="H8" i="2"/>
  <c r="Q7" i="2"/>
  <c r="I7" i="2"/>
  <c r="H7" i="2"/>
  <c r="Q6" i="2"/>
  <c r="I6" i="2"/>
  <c r="H6" i="2"/>
  <c r="Q5" i="2"/>
  <c r="I5" i="2"/>
  <c r="H5" i="2"/>
  <c r="Q4" i="2"/>
  <c r="I4" i="2"/>
  <c r="H4" i="2"/>
  <c r="Q3" i="2"/>
  <c r="I3" i="2"/>
  <c r="H3" i="2"/>
  <c r="Q14" i="1"/>
  <c r="I14" i="1"/>
  <c r="H14" i="1"/>
  <c r="Q13" i="1"/>
  <c r="I13" i="1"/>
  <c r="H13" i="1"/>
  <c r="Q12" i="1"/>
  <c r="I12" i="1"/>
  <c r="H12" i="1"/>
  <c r="Q11" i="1"/>
  <c r="I11" i="1"/>
  <c r="H11" i="1"/>
  <c r="Q10" i="1"/>
  <c r="I10" i="1"/>
  <c r="H10" i="1"/>
  <c r="Q9" i="1"/>
  <c r="I9" i="1"/>
  <c r="H9" i="1"/>
  <c r="Q8" i="1"/>
  <c r="I8" i="1"/>
  <c r="H8" i="1"/>
  <c r="Q7" i="1"/>
  <c r="I7" i="1"/>
  <c r="H7" i="1"/>
  <c r="Q6" i="1"/>
  <c r="I6" i="1"/>
  <c r="H6" i="1"/>
  <c r="Q5" i="1"/>
  <c r="I5" i="1"/>
  <c r="H5" i="1"/>
  <c r="Q4" i="1"/>
  <c r="I4" i="1"/>
  <c r="H4" i="1"/>
  <c r="Q3" i="1"/>
  <c r="I3" i="1"/>
  <c r="H3" i="1"/>
</calcChain>
</file>

<file path=xl/sharedStrings.xml><?xml version="1.0" encoding="utf-8"?>
<sst xmlns="http://schemas.openxmlformats.org/spreadsheetml/2006/main" count="350" uniqueCount="193">
  <si>
    <t>NSF Space / NTN Security Workshop — Organizing Committee Candidates</t>
  </si>
  <si>
    <t>Candidate</t>
  </si>
  <si>
    <t>Institution / Organization</t>
  </si>
  <si>
    <t>Current Role</t>
  </si>
  <si>
    <t>Country</t>
  </si>
  <si>
    <t>Career Stage</t>
  </si>
  <si>
    <t>Primary Workshop Relevance</t>
  </si>
  <si>
    <t>Why Consider</t>
  </si>
  <si>
    <t>Academic / Professional Profile</t>
  </si>
  <si>
    <t>Google Scholar</t>
  </si>
  <si>
    <t>Scholar Link Type</t>
  </si>
  <si>
    <t>Suggested Workshop Role</t>
  </si>
  <si>
    <t>Priority</t>
  </si>
  <si>
    <t>Likely to Attend?</t>
  </si>
  <si>
    <t>Conflict / Coverage Notes</t>
  </si>
  <si>
    <t>Colleague Review</t>
  </si>
  <si>
    <t>Decision</t>
  </si>
  <si>
    <t>Source / Verification URL</t>
  </si>
  <si>
    <t>Aanjhan Ranganathan</t>
  </si>
  <si>
    <t>Northeastern University</t>
  </si>
  <si>
    <t>Associate Professor; Director, BS Cybersecurity</t>
  </si>
  <si>
    <t>USA</t>
  </si>
  <si>
    <t>Mid-career</t>
  </si>
  <si>
    <t>Wireless security; physical-layer security; cyber-physical systems; GNSS</t>
  </si>
  <si>
    <t>SpaceSec leadership; strong technical fit across wireless and autonomous systems</t>
  </si>
  <si>
    <t>Search link</t>
  </si>
  <si>
    <t>Organizer / breakout chair</t>
  </si>
  <si>
    <t>A</t>
  </si>
  <si>
    <t>Under review</t>
  </si>
  <si>
    <t>Samuel C. Jero</t>
  </si>
  <si>
    <t>MIT Lincoln Laboratory</t>
  </si>
  <si>
    <t>Technical Staff, Secure Resilient Systems and Technology Group</t>
  </si>
  <si>
    <t>Systems security; network security; resilient systems</t>
  </si>
  <si>
    <t>SpaceSec leadership; strong applied-security and national-lab perspective</t>
  </si>
  <si>
    <t>Efren Lopez Morales</t>
  </si>
  <si>
    <t>New Mexico State University</t>
  </si>
  <si>
    <t>Assistant Professor, Computer Science</t>
  </si>
  <si>
    <t>Junior</t>
  </si>
  <si>
    <t>Satellite security; cyber-physical systems; cyber deception</t>
  </si>
  <si>
    <t>Directly focused on satellite cybersecurity and emerging academic leader</t>
  </si>
  <si>
    <t>Rosa Szurgot</t>
  </si>
  <si>
    <t>Embry-Riddle Aeronautical University</t>
  </si>
  <si>
    <t>Assistant Professor, Cyber Intelligence &amp; Security</t>
  </si>
  <si>
    <t>Junior / mid-career</t>
  </si>
  <si>
    <t>Satellite cybersecurity; AI-enabled resilience; space systems</t>
  </si>
  <si>
    <t>Direct space-cyber focus; prior NASA-related work and workshop experience</t>
  </si>
  <si>
    <t>Yueqi Chen</t>
  </si>
  <si>
    <t>University of Colorado Boulder</t>
  </si>
  <si>
    <t>Assistant Professor</t>
  </si>
  <si>
    <t>Systems/software security; ML for systems; quantum OS</t>
  </si>
  <si>
    <t>Adds systems and emerging quantum-computing security perspective</t>
  </si>
  <si>
    <t>Verified author profile</t>
  </si>
  <si>
    <t>Filippos Fotiadis</t>
  </si>
  <si>
    <t>University of Texas at Austin</t>
  </si>
  <si>
    <t>Postdoctoral Fellow</t>
  </si>
  <si>
    <t>Aerospace autonomy; control; game theory; cyber-physical resilience</t>
  </si>
  <si>
    <t>Strong rising researcher at security/autonomy intersection; active workshop organizer</t>
  </si>
  <si>
    <t>Stephen Herwig</t>
  </si>
  <si>
    <t>William &amp; Mary</t>
  </si>
  <si>
    <t>Systems security; network security; trusted computing</t>
  </si>
  <si>
    <t>Virginia-based systems-security researcher; likely hands-on contributor</t>
  </si>
  <si>
    <t>B</t>
  </si>
  <si>
    <t>Shahin Tajik</t>
  </si>
  <si>
    <t>Worcester Polytechnic Institute</t>
  </si>
  <si>
    <t>Assistant Professor, Electrical &amp; Computer Engineering</t>
  </si>
  <si>
    <t>Hardware security; side channels; FPGA security; anti-tamper</t>
  </si>
  <si>
    <t>Adds spacecraft-component and hardware attack/defense perspective</t>
  </si>
  <si>
    <t>Bruce DeBruhl</t>
  </si>
  <si>
    <t>Cal Poly San Luis Obispo</t>
  </si>
  <si>
    <t>Professor / Faculty, Computer Engineering</t>
  </si>
  <si>
    <t>Wireless security; cyber-physical security; satellites; drones</t>
  </si>
  <si>
    <t>Bridges wireless, cyber-physical and satellite security</t>
  </si>
  <si>
    <t>Nishith Tripathi</t>
  </si>
  <si>
    <t>Virginia Tech</t>
  </si>
  <si>
    <t>Research Associate Professor</t>
  </si>
  <si>
    <t>Mid-career / senior industry experience</t>
  </si>
  <si>
    <t>5G/6G; NTN; wireless security; AI for cellular systems</t>
  </si>
  <si>
    <t>Strong NTN/NextG coverage and Virginia proximity</t>
  </si>
  <si>
    <t>Edward Birrane</t>
  </si>
  <si>
    <t>Johns Hopkins Applied Physics Laboratory</t>
  </si>
  <si>
    <t>Principal Professional Staff; Space Systems Engineering faculty</t>
  </si>
  <si>
    <t>Senior technical</t>
  </si>
  <si>
    <t>Space networking; flight software; space systems engineering</t>
  </si>
  <si>
    <t>Strong operational space-systems and standards perspective; geographically close</t>
  </si>
  <si>
    <t>Ashok Prajapati</t>
  </si>
  <si>
    <t>NASA Goddard Space Flight Center</t>
  </si>
  <si>
    <t>HQ/SMD Advisor, NASA cFS Steering Committee</t>
  </si>
  <si>
    <t>Core Flight System; spacecraft software; AI/deep learning</t>
  </si>
  <si>
    <t>NASA spacecraft-software perspective; local to DC region</t>
  </si>
  <si>
    <t>Organizer / government liaison</t>
  </si>
  <si>
    <t>NSF Space / NTN Security Workshop — Advisory Committee Candidates</t>
  </si>
  <si>
    <t>Gregory Falco</t>
  </si>
  <si>
    <t>Cornell University</t>
  </si>
  <si>
    <t>Assistant Professor, Mechanical &amp; Aerospace Engineering / Systems Engineering</t>
  </si>
  <si>
    <t>Space cybersecurity; aerospace systems; cyber resilience</t>
  </si>
  <si>
    <t>Prominent US academic working directly on space cybersecurity and policy</t>
  </si>
  <si>
    <t>Advisor / keynote candidate</t>
  </si>
  <si>
    <t>Brandon Bailey</t>
  </si>
  <si>
    <t>The Aerospace Corporation</t>
  </si>
  <si>
    <t>Principal Engineer, Cybersecurity and Advanced Platforms</t>
  </si>
  <si>
    <t>Spacecraft penetration testing; SPARTA; cyber ranges; ground/space systems</t>
  </si>
  <si>
    <t>Highly relevant operational and federal-space cybersecurity expertise</t>
  </si>
  <si>
    <t>Martin Strohmeier</t>
  </si>
  <si>
    <t>Cyber-Defence Campus, armasuisse</t>
  </si>
  <si>
    <t>Senior Scientist; Visiting Fellow, Oxford</t>
  </si>
  <si>
    <t>Switzerland</t>
  </si>
  <si>
    <t>Senior / established</t>
  </si>
  <si>
    <t>Wireless security; satellite links; aviation/space critical infrastructure</t>
  </si>
  <si>
    <t>Internationally recognized wireless and space-security researcher; SpaceSec leader</t>
  </si>
  <si>
    <t>Jill Slay</t>
  </si>
  <si>
    <t>Adelaide University / SmartSat CRC</t>
  </si>
  <si>
    <t>SmartSat Chair: Cybersecurity</t>
  </si>
  <si>
    <t>Australia</t>
  </si>
  <si>
    <t>Senior</t>
  </si>
  <si>
    <t>Satellite cybersecurity; resilience; defence; standards</t>
  </si>
  <si>
    <t>Major international leader linking academia, government, defence and satellite security</t>
  </si>
  <si>
    <t>Gunes Karabulut-Kurt</t>
  </si>
  <si>
    <t>Polytechnique Montréal</t>
  </si>
  <si>
    <t>Full Professor; Canada Research Chair in Space Communications</t>
  </si>
  <si>
    <t>Canada</t>
  </si>
  <si>
    <t>Space communications; NTN; physical-layer security; mega-constellations</t>
  </si>
  <si>
    <t>Strongest NTN/space-communications complement to cyber-heavy advisory group</t>
  </si>
  <si>
    <t>Ivan Martinovic</t>
  </si>
  <si>
    <t>University of Oxford</t>
  </si>
  <si>
    <t>Professor of Computer Science</t>
  </si>
  <si>
    <t>UK</t>
  </si>
  <si>
    <t>Cyber-physical security; wireless security; satellite communication security</t>
  </si>
  <si>
    <t>International systems-security leader with direct satellite-security portfolio</t>
  </si>
  <si>
    <t>Vincent Lenders</t>
  </si>
  <si>
    <t>University of Luxembourg</t>
  </si>
  <si>
    <t>Full Professor of Cybersecurity; FNR PEARL Chair</t>
  </si>
  <si>
    <t>Luxembourg</t>
  </si>
  <si>
    <t>Wireless/systems security; collaborative sensing; satellite security</t>
  </si>
  <si>
    <t>International SpaceSec leadership and strong European research network</t>
  </si>
  <si>
    <t>Jeffrey Reed</t>
  </si>
  <si>
    <t>Willis G. Worcester Professor</t>
  </si>
  <si>
    <t>Wireless communications; NextG; spectrum security; NTN</t>
  </si>
  <si>
    <t>Senior wireless/NextG perspective and strong regional relevance</t>
  </si>
  <si>
    <t>Carsten Maple</t>
  </si>
  <si>
    <t>University of Warwick</t>
  </si>
  <si>
    <t>Professor of Cyber Systems Engineering</t>
  </si>
  <si>
    <t>Cyber systems; critical infrastructure; cybersecurity research leadership</t>
  </si>
  <si>
    <t>Broad cyber-resilience and UK research-policy network</t>
  </si>
  <si>
    <t>Advisor</t>
  </si>
  <si>
    <t>Christina Pöpper</t>
  </si>
  <si>
    <t>NYU Abu Dhabi</t>
  </si>
  <si>
    <t>Associate Professor of Computer Science</t>
  </si>
  <si>
    <t>UAE</t>
  </si>
  <si>
    <t>Wireless security; secure localization; communication security</t>
  </si>
  <si>
    <t>Strong international wireless-security leader with ESA experience and SpaceSec role</t>
  </si>
  <si>
    <t>Ali Abbasi</t>
  </si>
  <si>
    <t>CISPA Helmholtz Center for Information Security</t>
  </si>
  <si>
    <t>Faculty / Group Leader, Embedded Systems Security</t>
  </si>
  <si>
    <t>Germany</t>
  </si>
  <si>
    <t>Mid-career / established</t>
  </si>
  <si>
    <t>Embedded security; mission-critical software; space systems security</t>
  </si>
  <si>
    <t>Strong top-tier systems-security research with direct spacecraft relevance</t>
  </si>
  <si>
    <t>Johannes Willbold</t>
  </si>
  <si>
    <t>Variant Security</t>
  </si>
  <si>
    <t>Co-Founder; space-security researcher</t>
  </si>
  <si>
    <t>Satellite software security; vulnerability research; SpaceSec</t>
  </si>
  <si>
    <t>Highly visible empirical satellite-security researcher and SpaceSec founder</t>
  </si>
  <si>
    <t>Advisor / technical sounding board</t>
  </si>
  <si>
    <t>Ulf Lindqvist</t>
  </si>
  <si>
    <t>SRI International</t>
  </si>
  <si>
    <t>Senior Technical Director, Computer Science Laboratory</t>
  </si>
  <si>
    <t>Infrastructure security; space systems; intrusion detection; cyber-physical security</t>
  </si>
  <si>
    <t>Experienced applied cybersecurity leader with space and critical-infrastructure reach</t>
  </si>
  <si>
    <t>Quanyan Zhu</t>
  </si>
  <si>
    <t>New York University</t>
  </si>
  <si>
    <t>Associate Professor, Electrical &amp; Computer Engineering</t>
  </si>
  <si>
    <t>Game theory; control; cyber-physical security; resilience</t>
  </si>
  <si>
    <t>Adds rigorous control/game-theoretic and autonomous-systems security perspective</t>
  </si>
  <si>
    <t>Candidate Review Guide</t>
  </si>
  <si>
    <t>Field</t>
  </si>
  <si>
    <t>How to use it</t>
  </si>
  <si>
    <t>A = strongest initial target; B = strong secondary target; C = lower priority; Remove = exclude</t>
  </si>
  <si>
    <t>Colleague assessment: High / Medium / Low / Unknown</t>
  </si>
  <si>
    <t>Flag duplication, conflicts of interest, missing topical coverage, or representation concerns</t>
  </si>
  <si>
    <t>Record internal support or concerns</t>
  </si>
  <si>
    <t>Invite / Hold / Do not invite / Need more info / Under review</t>
  </si>
  <si>
    <t>Verified author profile where an exact public Scholar ID was confirmed; otherwise a name-specific Google Scholar search link</t>
  </si>
  <si>
    <t>Approximate current career stage to help balance organizing vs advisory roles</t>
  </si>
  <si>
    <t>Short description of the technical contribution the person could bring</t>
  </si>
  <si>
    <t>Suggested review dimensions</t>
  </si>
  <si>
    <t>Technical coverage</t>
  </si>
  <si>
    <t>Career-stage balance</t>
  </si>
  <si>
    <t>Geographic / international balance</t>
  </si>
  <si>
    <t>Academia / government / industry balance</t>
  </si>
  <si>
    <t>Likelihood of active participation</t>
  </si>
  <si>
    <t>Ability to recruit others</t>
  </si>
  <si>
    <t>Workshop facilitation experience</t>
  </si>
  <si>
    <t>Potential keynote / breakout 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</si>
</sst>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10"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ganizingCommitteeTable" displayName="OrganizingCommitteeTable" ref="A2:Q14" totalsRowShown="0">
  <tableColumns count="17">
    <tableColumn id="1" xr3:uid="{00000000-0010-0000-0000-000001000000}" name="Candidate"/>
    <tableColumn id="2" xr3:uid="{00000000-0010-0000-0000-000002000000}" name="Institution / Organization"/>
    <tableColumn id="3" xr3:uid="{00000000-0010-0000-0000-000003000000}" name="Current Role"/>
    <tableColumn id="4" xr3:uid="{00000000-0010-0000-0000-000004000000}" name="Country"/>
    <tableColumn id="5" xr3:uid="{00000000-0010-0000-0000-000005000000}" name="Career Stage"/>
    <tableColumn id="6" xr3:uid="{00000000-0010-0000-0000-000006000000}" name="Primary Workshop Relevance"/>
    <tableColumn id="7" xr3:uid="{00000000-0010-0000-0000-000007000000}" name="Why Consider"/>
    <tableColumn id="8" xr3:uid="{00000000-0010-0000-0000-000008000000}" name="Academic / Professional Profile"/>
    <tableColumn id="9" xr3:uid="{00000000-0010-0000-0000-000009000000}" name="Google Scholar"/>
    <tableColumn id="10" xr3:uid="{00000000-0010-0000-0000-00000A000000}" name="Scholar Link Type"/>
    <tableColumn id="11" xr3:uid="{00000000-0010-0000-0000-00000B000000}" name="Suggested Workshop Role"/>
    <tableColumn id="12" xr3:uid="{00000000-0010-0000-0000-00000C000000}" name="Priority"/>
    <tableColumn id="13" xr3:uid="{00000000-0010-0000-0000-00000D000000}" name="Likely to Attend?"/>
    <tableColumn id="14" xr3:uid="{00000000-0010-0000-0000-00000E000000}" name="Conflict / Coverage Notes"/>
    <tableColumn id="15" xr3:uid="{00000000-0010-0000-0000-00000F000000}" name="Colleague Review"/>
    <tableColumn id="16" xr3:uid="{00000000-0010-0000-0000-000010000000}" name="Decision"/>
    <tableColumn id="17" xr3:uid="{00000000-0010-0000-0000-000011000000}" name="Source / Verification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dvisoryCommitteeTable" displayName="AdvisoryCommitteeTable" ref="A2:Q16" totalsRowShown="0">
  <tableColumns count="17">
    <tableColumn id="1" xr3:uid="{00000000-0010-0000-0100-000001000000}" name="Candidate"/>
    <tableColumn id="2" xr3:uid="{00000000-0010-0000-0100-000002000000}" name="Institution / Organization"/>
    <tableColumn id="3" xr3:uid="{00000000-0010-0000-0100-000003000000}" name="Current Role"/>
    <tableColumn id="4" xr3:uid="{00000000-0010-0000-0100-000004000000}" name="Country"/>
    <tableColumn id="5" xr3:uid="{00000000-0010-0000-0100-000005000000}" name="Career Stage"/>
    <tableColumn id="6" xr3:uid="{00000000-0010-0000-0100-000006000000}" name="Primary Workshop Relevance"/>
    <tableColumn id="7" xr3:uid="{00000000-0010-0000-0100-000007000000}" name="Why Consider"/>
    <tableColumn id="8" xr3:uid="{00000000-0010-0000-0100-000008000000}" name="Academic / Professional Profile"/>
    <tableColumn id="9" xr3:uid="{00000000-0010-0000-0100-000009000000}" name="Google Scholar"/>
    <tableColumn id="10" xr3:uid="{00000000-0010-0000-0100-00000A000000}" name="Scholar Link Type"/>
    <tableColumn id="11" xr3:uid="{00000000-0010-0000-0100-00000B000000}" name="Suggested Workshop Role"/>
    <tableColumn id="12" xr3:uid="{00000000-0010-0000-0100-00000C000000}" name="Priority"/>
    <tableColumn id="13" xr3:uid="{00000000-0010-0000-0100-00000D000000}" name="Likely to Attend?"/>
    <tableColumn id="14" xr3:uid="{00000000-0010-0000-0100-00000E000000}" name="Conflict / Coverage Notes"/>
    <tableColumn id="15" xr3:uid="{00000000-0010-0000-0100-00000F000000}" name="Colleague Review"/>
    <tableColumn id="16" xr3:uid="{00000000-0010-0000-0100-000010000000}" name="Decision"/>
    <tableColumn id="17" xr3:uid="{00000000-0010-0000-0100-000011000000}" name="Source / Verification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selection activeCell="B18" sqref="B18"/>
    </sheetView>
  </sheetViews>
  <sheetFormatPr defaultRowHeight="13.8"/>
  <cols>
    <col min="1" max="1" width="24" customWidth="1"/>
    <col min="2" max="2" width="28" customWidth="1"/>
    <col min="3" max="3" width="30" customWidth="1"/>
    <col min="4" max="4" width="12" customWidth="1"/>
    <col min="5" max="5" width="18" customWidth="1"/>
    <col min="6" max="6" width="34" customWidth="1"/>
    <col min="7" max="7" width="44" customWidth="1"/>
    <col min="8" max="10" width="18" customWidth="1"/>
    <col min="11" max="11" width="24" customWidth="1"/>
    <col min="12" max="12" width="10" customWidth="1"/>
    <col min="13" max="13" width="16" customWidth="1"/>
    <col min="14" max="14" width="28" customWidth="1"/>
    <col min="15" max="15" width="20" customWidth="1"/>
    <col min="16" max="16" width="16" customWidth="1"/>
    <col min="17" max="17" width="20" customWidth="1"/>
  </cols>
  <sheetData>
    <row r="1" spans="1:17" ht="22.3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28.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spans="1:17" ht="27.6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tr">
        <f>HYPERLINK("https://www.khoury.northeastern.edu/people/aanjhan-ranganathan/","Profile")</f>
        <v>Profile</v>
      </c>
      <c r="I3" s="3" t="str">
        <f>HYPERLINK("https://scholar.google.com/scholar?q=%22Aanjhan+Ranganathan%22","Google Scholar")</f>
        <v>Google Scholar</v>
      </c>
      <c r="J3" s="3" t="s">
        <v>25</v>
      </c>
      <c r="K3" s="3" t="s">
        <v>26</v>
      </c>
      <c r="L3" s="3" t="s">
        <v>27</v>
      </c>
      <c r="M3" s="3"/>
      <c r="N3" s="3"/>
      <c r="O3" s="3"/>
      <c r="P3" s="3" t="s">
        <v>28</v>
      </c>
      <c r="Q3" s="3" t="str">
        <f>HYPERLINK("https://www.khoury.northeastern.edu/people/aanjhan-ranganathan/","Verification source")</f>
        <v>Verification source</v>
      </c>
    </row>
    <row r="4" spans="1:17" ht="27.6">
      <c r="A4" s="3" t="s">
        <v>29</v>
      </c>
      <c r="B4" s="3" t="s">
        <v>30</v>
      </c>
      <c r="C4" s="3" t="s">
        <v>31</v>
      </c>
      <c r="D4" s="3" t="s">
        <v>21</v>
      </c>
      <c r="E4" s="3" t="s">
        <v>22</v>
      </c>
      <c r="F4" s="3" t="s">
        <v>32</v>
      </c>
      <c r="G4" s="3" t="s">
        <v>33</v>
      </c>
      <c r="H4" s="3" t="str">
        <f>HYPERLINK("https://www.ll.mit.edu/biographies/samuel-c-jero","Profile")</f>
        <v>Profile</v>
      </c>
      <c r="I4" s="3" t="str">
        <f>HYPERLINK("https://scholar.google.com/scholar?q=%22Samuel+C.+Jero%22","Google Scholar")</f>
        <v>Google Scholar</v>
      </c>
      <c r="J4" s="3" t="s">
        <v>25</v>
      </c>
      <c r="K4" s="3" t="s">
        <v>26</v>
      </c>
      <c r="L4" s="3" t="s">
        <v>27</v>
      </c>
      <c r="M4" s="3"/>
      <c r="N4" s="3"/>
      <c r="O4" s="3"/>
      <c r="P4" s="3" t="s">
        <v>28</v>
      </c>
      <c r="Q4" s="3" t="str">
        <f>HYPERLINK("https://www.ll.mit.edu/biographies/samuel-c-jero","Verification source")</f>
        <v>Verification source</v>
      </c>
    </row>
    <row r="5" spans="1:17" ht="27.6">
      <c r="A5" s="3" t="s">
        <v>34</v>
      </c>
      <c r="B5" s="3" t="s">
        <v>35</v>
      </c>
      <c r="C5" s="3" t="s">
        <v>36</v>
      </c>
      <c r="D5" s="3" t="s">
        <v>21</v>
      </c>
      <c r="E5" s="3" t="s">
        <v>37</v>
      </c>
      <c r="F5" s="3" t="s">
        <v>38</v>
      </c>
      <c r="G5" s="3" t="s">
        <v>39</v>
      </c>
      <c r="H5" s="3" t="str">
        <f>HYPERLINK("https://computerscience.nmsu.edu/facultydirectory/individual-bio-pages/efren-lopez-morales.html","Profile")</f>
        <v>Profile</v>
      </c>
      <c r="I5" s="3" t="str">
        <f>HYPERLINK("https://scholar.google.com/scholar?q=%22Efren+Lopez+Morales%22","Google Scholar")</f>
        <v>Google Scholar</v>
      </c>
      <c r="J5" s="3" t="s">
        <v>25</v>
      </c>
      <c r="K5" s="3" t="s">
        <v>26</v>
      </c>
      <c r="L5" s="3" t="s">
        <v>27</v>
      </c>
      <c r="M5" s="3"/>
      <c r="N5" s="3"/>
      <c r="O5" s="3"/>
      <c r="P5" s="3" t="s">
        <v>28</v>
      </c>
      <c r="Q5" s="3" t="str">
        <f>HYPERLINK("https://computerscience.nmsu.edu/facultydirectory/individual-bio-pages/efren-lopez-morales.html","Verification source")</f>
        <v>Verification source</v>
      </c>
    </row>
    <row r="6" spans="1:17" ht="27.6">
      <c r="A6" s="3" t="s">
        <v>40</v>
      </c>
      <c r="B6" s="3" t="s">
        <v>41</v>
      </c>
      <c r="C6" s="3" t="s">
        <v>42</v>
      </c>
      <c r="D6" s="3" t="s">
        <v>21</v>
      </c>
      <c r="E6" s="3" t="s">
        <v>43</v>
      </c>
      <c r="F6" s="3" t="s">
        <v>44</v>
      </c>
      <c r="G6" s="3" t="s">
        <v>45</v>
      </c>
      <c r="H6" s="3" t="str">
        <f>HYPERLINK("https://erau.edu/faculty/Rosa.Szurgot","Profile")</f>
        <v>Profile</v>
      </c>
      <c r="I6" s="3" t="str">
        <f>HYPERLINK("https://scholar.google.com/scholar?q=%22Rosa+Szurgot%22","Google Scholar")</f>
        <v>Google Scholar</v>
      </c>
      <c r="J6" s="3" t="s">
        <v>25</v>
      </c>
      <c r="K6" s="3" t="s">
        <v>26</v>
      </c>
      <c r="L6" s="3" t="s">
        <v>27</v>
      </c>
      <c r="M6" s="3"/>
      <c r="N6" s="3"/>
      <c r="O6" s="3"/>
      <c r="P6" s="3" t="s">
        <v>28</v>
      </c>
      <c r="Q6" s="3" t="str">
        <f>HYPERLINK("https://erau.edu/faculty/Rosa.Szurgot","Verification source")</f>
        <v>Verification source</v>
      </c>
    </row>
    <row r="7" spans="1:17" ht="27.6">
      <c r="A7" s="3" t="s">
        <v>46</v>
      </c>
      <c r="B7" s="3" t="s">
        <v>47</v>
      </c>
      <c r="C7" s="3" t="s">
        <v>48</v>
      </c>
      <c r="D7" s="3" t="s">
        <v>21</v>
      </c>
      <c r="E7" s="3" t="s">
        <v>37</v>
      </c>
      <c r="F7" s="3" t="s">
        <v>49</v>
      </c>
      <c r="G7" s="3" t="s">
        <v>50</v>
      </c>
      <c r="H7" s="3" t="str">
        <f>HYPERLINK("https://experts.colorado.edu/display/fisid_171984","Profile")</f>
        <v>Profile</v>
      </c>
      <c r="I7" s="3" t="str">
        <f>HYPERLINK("https://scholar.google.com/citations?user=JpxHgWQAAAAJ&amp;hl=en","Google Scholar")</f>
        <v>Google Scholar</v>
      </c>
      <c r="J7" s="3" t="s">
        <v>51</v>
      </c>
      <c r="K7" s="3" t="s">
        <v>26</v>
      </c>
      <c r="L7" s="3" t="s">
        <v>27</v>
      </c>
      <c r="M7" s="3"/>
      <c r="N7" s="3"/>
      <c r="O7" s="3"/>
      <c r="P7" s="3" t="s">
        <v>28</v>
      </c>
      <c r="Q7" s="3" t="str">
        <f>HYPERLINK("https://experts.colorado.edu/display/fisid_171984","Verification source")</f>
        <v>Verification source</v>
      </c>
    </row>
    <row r="8" spans="1:17" ht="27.6">
      <c r="A8" s="3" t="s">
        <v>52</v>
      </c>
      <c r="B8" s="3" t="s">
        <v>53</v>
      </c>
      <c r="C8" s="3" t="s">
        <v>54</v>
      </c>
      <c r="D8" s="3" t="s">
        <v>21</v>
      </c>
      <c r="E8" s="3" t="s">
        <v>37</v>
      </c>
      <c r="F8" s="3" t="s">
        <v>55</v>
      </c>
      <c r="G8" s="3" t="s">
        <v>56</v>
      </c>
      <c r="H8" s="3" t="str">
        <f>HYPERLINK("https://fotiadisff.github.io/","Profile")</f>
        <v>Profile</v>
      </c>
      <c r="I8" s="3" t="str">
        <f>HYPERLINK("https://scholar.google.com/scholar?q=%22Filippos+Fotiadis%22","Google Scholar")</f>
        <v>Google Scholar</v>
      </c>
      <c r="J8" s="3" t="s">
        <v>25</v>
      </c>
      <c r="K8" s="3" t="s">
        <v>26</v>
      </c>
      <c r="L8" s="3" t="s">
        <v>27</v>
      </c>
      <c r="M8" s="3"/>
      <c r="N8" s="3"/>
      <c r="O8" s="3"/>
      <c r="P8" s="3" t="s">
        <v>28</v>
      </c>
      <c r="Q8" s="3" t="str">
        <f>HYPERLINK("https://fotiadisff.github.io/","Verification source")</f>
        <v>Verification source</v>
      </c>
    </row>
    <row r="9" spans="1:17" ht="27.6">
      <c r="A9" s="3" t="s">
        <v>57</v>
      </c>
      <c r="B9" s="3" t="s">
        <v>58</v>
      </c>
      <c r="C9" s="3" t="s">
        <v>36</v>
      </c>
      <c r="D9" s="3" t="s">
        <v>21</v>
      </c>
      <c r="E9" s="3" t="s">
        <v>37</v>
      </c>
      <c r="F9" s="3" t="s">
        <v>59</v>
      </c>
      <c r="G9" s="3" t="s">
        <v>60</v>
      </c>
      <c r="H9" s="3" t="str">
        <f>HYPERLINK("https://www.cs.wm.edu/~smherwig/index.html","Profile")</f>
        <v>Profile</v>
      </c>
      <c r="I9" s="3" t="str">
        <f>HYPERLINK("https://scholar.google.com/scholar?q=%22Stephen+Herwig%22","Google Scholar")</f>
        <v>Google Scholar</v>
      </c>
      <c r="J9" s="3" t="s">
        <v>25</v>
      </c>
      <c r="K9" s="3" t="s">
        <v>26</v>
      </c>
      <c r="L9" s="3" t="s">
        <v>61</v>
      </c>
      <c r="M9" s="3"/>
      <c r="N9" s="3"/>
      <c r="O9" s="3"/>
      <c r="P9" s="3" t="s">
        <v>28</v>
      </c>
      <c r="Q9" s="3" t="str">
        <f>HYPERLINK("https://www.cs.wm.edu/~smherwig/index.html","Verification source")</f>
        <v>Verification source</v>
      </c>
    </row>
    <row r="10" spans="1:17" ht="27.6">
      <c r="A10" s="3" t="s">
        <v>62</v>
      </c>
      <c r="B10" s="3" t="s">
        <v>63</v>
      </c>
      <c r="C10" s="3" t="s">
        <v>64</v>
      </c>
      <c r="D10" s="3" t="s">
        <v>21</v>
      </c>
      <c r="E10" s="3" t="s">
        <v>43</v>
      </c>
      <c r="F10" s="3" t="s">
        <v>65</v>
      </c>
      <c r="G10" s="3" t="s">
        <v>66</v>
      </c>
      <c r="H10" s="3" t="str">
        <f>HYPERLINK("https://www.wpi.edu/people/faculty/stajik","Profile")</f>
        <v>Profile</v>
      </c>
      <c r="I10" s="3" t="str">
        <f>HYPERLINK("https://scholar.google.com/scholar?q=%22Shahin+Tajik%22","Google Scholar")</f>
        <v>Google Scholar</v>
      </c>
      <c r="J10" s="3" t="s">
        <v>25</v>
      </c>
      <c r="K10" s="3" t="s">
        <v>26</v>
      </c>
      <c r="L10" s="3" t="s">
        <v>61</v>
      </c>
      <c r="M10" s="3"/>
      <c r="N10" s="3"/>
      <c r="O10" s="3"/>
      <c r="P10" s="3" t="s">
        <v>28</v>
      </c>
      <c r="Q10" s="3" t="str">
        <f>HYPERLINK("https://www.wpi.edu/people/faculty/stajik","Verification source")</f>
        <v>Verification source</v>
      </c>
    </row>
    <row r="11" spans="1:17" ht="27.6">
      <c r="A11" s="3" t="s">
        <v>67</v>
      </c>
      <c r="B11" s="3" t="s">
        <v>68</v>
      </c>
      <c r="C11" s="3" t="s">
        <v>69</v>
      </c>
      <c r="D11" s="3" t="s">
        <v>21</v>
      </c>
      <c r="E11" s="3" t="s">
        <v>22</v>
      </c>
      <c r="F11" s="3" t="s">
        <v>70</v>
      </c>
      <c r="G11" s="3" t="s">
        <v>71</v>
      </c>
      <c r="H11" s="3" t="str">
        <f>HYPERLINK("https://cpe.calpoly.edu/bruce-debruhl/","Profile")</f>
        <v>Profile</v>
      </c>
      <c r="I11" s="3" t="str">
        <f>HYPERLINK("https://scholar.google.com/scholar?q=%22Bruce+DeBruhl%22","Google Scholar")</f>
        <v>Google Scholar</v>
      </c>
      <c r="J11" s="3" t="s">
        <v>25</v>
      </c>
      <c r="K11" s="3" t="s">
        <v>26</v>
      </c>
      <c r="L11" s="3" t="s">
        <v>61</v>
      </c>
      <c r="M11" s="3"/>
      <c r="N11" s="3"/>
      <c r="O11" s="3"/>
      <c r="P11" s="3" t="s">
        <v>28</v>
      </c>
      <c r="Q11" s="3" t="str">
        <f>HYPERLINK("https://cpe.calpoly.edu/bruce-debruhl/","Verification source")</f>
        <v>Verification source</v>
      </c>
    </row>
    <row r="12" spans="1:17" ht="27.6">
      <c r="A12" s="3" t="s">
        <v>72</v>
      </c>
      <c r="B12" s="3" t="s">
        <v>73</v>
      </c>
      <c r="C12" s="3" t="s">
        <v>74</v>
      </c>
      <c r="D12" s="3" t="s">
        <v>21</v>
      </c>
      <c r="E12" s="3" t="s">
        <v>75</v>
      </c>
      <c r="F12" s="3" t="s">
        <v>76</v>
      </c>
      <c r="G12" s="3" t="s">
        <v>77</v>
      </c>
      <c r="H12" s="3" t="str">
        <f>HYPERLINK("https://cyberinitiative.org/research/researcher-directory/tripathi-nishith.html","Profile")</f>
        <v>Profile</v>
      </c>
      <c r="I12" s="3" t="str">
        <f>HYPERLINK("https://scholar.google.com/scholar?q=%22Nishith+Tripathi%22","Google Scholar")</f>
        <v>Google Scholar</v>
      </c>
      <c r="J12" s="3" t="s">
        <v>25</v>
      </c>
      <c r="K12" s="3" t="s">
        <v>26</v>
      </c>
      <c r="L12" s="3" t="s">
        <v>27</v>
      </c>
      <c r="M12" s="3"/>
      <c r="N12" s="3"/>
      <c r="O12" s="3"/>
      <c r="P12" s="3" t="s">
        <v>28</v>
      </c>
      <c r="Q12" s="3" t="str">
        <f>HYPERLINK("https://cyberinitiative.org/research/researcher-directory/tripathi-nishith.html","Verification source")</f>
        <v>Verification source</v>
      </c>
    </row>
    <row r="13" spans="1:17" ht="27.6">
      <c r="A13" s="3" t="s">
        <v>78</v>
      </c>
      <c r="B13" s="3" t="s">
        <v>79</v>
      </c>
      <c r="C13" s="3" t="s">
        <v>80</v>
      </c>
      <c r="D13" s="3" t="s">
        <v>21</v>
      </c>
      <c r="E13" s="3" t="s">
        <v>81</v>
      </c>
      <c r="F13" s="3" t="s">
        <v>82</v>
      </c>
      <c r="G13" s="3" t="s">
        <v>83</v>
      </c>
      <c r="H13" s="3" t="str">
        <f>HYPERLINK("https://ep.jhu.edu/faculty/edward-birrane/","Profile")</f>
        <v>Profile</v>
      </c>
      <c r="I13" s="3" t="str">
        <f>HYPERLINK("https://scholar.google.com/scholar?q=%22Edward+Birrane%22","Google Scholar")</f>
        <v>Google Scholar</v>
      </c>
      <c r="J13" s="3" t="s">
        <v>25</v>
      </c>
      <c r="K13" s="3" t="s">
        <v>26</v>
      </c>
      <c r="L13" s="3" t="s">
        <v>27</v>
      </c>
      <c r="M13" s="3"/>
      <c r="N13" s="3"/>
      <c r="O13" s="3"/>
      <c r="P13" s="3" t="s">
        <v>28</v>
      </c>
      <c r="Q13" s="3" t="str">
        <f>HYPERLINK("https://ep.jhu.edu/faculty/edward-birrane/","Verification source")</f>
        <v>Verification source</v>
      </c>
    </row>
    <row r="14" spans="1:17" ht="27.6">
      <c r="A14" s="3" t="s">
        <v>84</v>
      </c>
      <c r="B14" s="3" t="s">
        <v>85</v>
      </c>
      <c r="C14" s="3" t="s">
        <v>86</v>
      </c>
      <c r="D14" s="3" t="s">
        <v>21</v>
      </c>
      <c r="E14" s="3" t="s">
        <v>81</v>
      </c>
      <c r="F14" s="3" t="s">
        <v>87</v>
      </c>
      <c r="G14" s="3" t="s">
        <v>88</v>
      </c>
      <c r="H14" s="3" t="str">
        <f>HYPERLINK("https://etd.gsfc.nasa.gov/capabilities/core-flight-system/steering-committee/","Profile")</f>
        <v>Profile</v>
      </c>
      <c r="I14" s="3" t="str">
        <f>HYPERLINK("https://scholar.google.com/scholar?q=%22Ashok+Prajapati%22","Google Scholar")</f>
        <v>Google Scholar</v>
      </c>
      <c r="J14" s="3" t="s">
        <v>25</v>
      </c>
      <c r="K14" s="3" t="s">
        <v>89</v>
      </c>
      <c r="L14" s="3" t="s">
        <v>61</v>
      </c>
      <c r="M14" s="3"/>
      <c r="N14" s="3"/>
      <c r="O14" s="3"/>
      <c r="P14" s="3" t="s">
        <v>28</v>
      </c>
      <c r="Q14" s="3" t="str">
        <f>HYPERLINK("https://etd.gsfc.nasa.gov/capabilities/core-flight-system/steering-committee/","Verification source")</f>
        <v>Verification source</v>
      </c>
    </row>
  </sheetData>
  <mergeCells count="1">
    <mergeCell ref="A1:Q1"/>
  </mergeCells>
  <conditionalFormatting sqref="L3:L14">
    <cfRule type="expression" dxfId="9" priority="1">
      <formula>L3="A"</formula>
    </cfRule>
    <cfRule type="expression" dxfId="8" priority="2">
      <formula>L3="B"</formula>
    </cfRule>
    <cfRule type="expression" dxfId="7" priority="3">
      <formula>L3="C"</formula>
    </cfRule>
  </conditionalFormatting>
  <conditionalFormatting sqref="P3:P14">
    <cfRule type="expression" dxfId="6" priority="4">
      <formula>P3="Invite"</formula>
    </cfRule>
    <cfRule type="expression" dxfId="5" priority="5">
      <formula>P3="Do not invite"</formula>
    </cfRule>
  </conditionalFormatting>
  <dataValidations count="4">
    <dataValidation type="list" sqref="L3:L14" xr:uid="{00000000-0002-0000-0000-000000000000}">
      <formula1>"A,B,C,Remove"</formula1>
    </dataValidation>
    <dataValidation type="list" sqref="M3:M14" xr:uid="{00000000-0002-0000-0000-000001000000}">
      <formula1>"High,Medium,Low,Unknown"</formula1>
    </dataValidation>
    <dataValidation type="list" sqref="O3:O14" xr:uid="{00000000-0002-0000-0000-000002000000}">
      <formula1>"Strong support,Support,Neutral,Concern,Not reviewed"</formula1>
    </dataValidation>
    <dataValidation type="list" sqref="P3:P14" xr:uid="{00000000-0002-0000-0000-000003000000}">
      <formula1>"Invite,Hold,Do not invite,Need more info,Under review"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"/>
  <sheetViews>
    <sheetView workbookViewId="0">
      <selection activeCell="D8" sqref="D8"/>
    </sheetView>
  </sheetViews>
  <sheetFormatPr defaultRowHeight="13.8"/>
  <cols>
    <col min="1" max="1" width="24" customWidth="1"/>
    <col min="2" max="2" width="28" customWidth="1"/>
    <col min="3" max="3" width="30" customWidth="1"/>
    <col min="4" max="4" width="12" customWidth="1"/>
    <col min="5" max="5" width="18" customWidth="1"/>
    <col min="6" max="6" width="34" customWidth="1"/>
    <col min="7" max="7" width="44" customWidth="1"/>
    <col min="8" max="10" width="18" customWidth="1"/>
    <col min="11" max="11" width="24" customWidth="1"/>
    <col min="12" max="12" width="10" customWidth="1"/>
    <col min="13" max="13" width="16" customWidth="1"/>
    <col min="14" max="14" width="28" customWidth="1"/>
    <col min="15" max="15" width="20" customWidth="1"/>
    <col min="16" max="16" width="16" customWidth="1"/>
    <col min="17" max="17" width="20" customWidth="1"/>
  </cols>
  <sheetData>
    <row r="1" spans="1:17" ht="22.35" customHeight="1">
      <c r="A1" s="6" t="s">
        <v>90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28.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spans="1:17" ht="41.4">
      <c r="A3" s="3" t="s">
        <v>91</v>
      </c>
      <c r="B3" s="3" t="s">
        <v>92</v>
      </c>
      <c r="C3" s="3" t="s">
        <v>93</v>
      </c>
      <c r="D3" s="3" t="s">
        <v>21</v>
      </c>
      <c r="E3" s="3" t="s">
        <v>22</v>
      </c>
      <c r="F3" s="3" t="s">
        <v>94</v>
      </c>
      <c r="G3" s="3" t="s">
        <v>95</v>
      </c>
      <c r="H3" s="3" t="str">
        <f>HYPERLINK("https://www.duffield.cornell.edu/people/gregory-falco/","Profile")</f>
        <v>Profile</v>
      </c>
      <c r="I3" s="3" t="str">
        <f>HYPERLINK("https://scholar.google.com/scholar?q=%22Gregory+Falco%22","Google Scholar")</f>
        <v>Google Scholar</v>
      </c>
      <c r="J3" s="3" t="s">
        <v>25</v>
      </c>
      <c r="K3" s="3" t="s">
        <v>96</v>
      </c>
      <c r="L3" s="3" t="s">
        <v>27</v>
      </c>
      <c r="M3" s="3"/>
      <c r="N3" s="3"/>
      <c r="O3" s="3"/>
      <c r="P3" s="3" t="s">
        <v>28</v>
      </c>
      <c r="Q3" s="3" t="str">
        <f>HYPERLINK("https://www.duffield.cornell.edu/people/gregory-falco/","Verification source")</f>
        <v>Verification source</v>
      </c>
    </row>
    <row r="4" spans="1:17" ht="27.6">
      <c r="A4" s="3" t="s">
        <v>97</v>
      </c>
      <c r="B4" s="3" t="s">
        <v>98</v>
      </c>
      <c r="C4" s="3" t="s">
        <v>99</v>
      </c>
      <c r="D4" s="3" t="s">
        <v>21</v>
      </c>
      <c r="E4" s="3" t="s">
        <v>81</v>
      </c>
      <c r="F4" s="3" t="s">
        <v>100</v>
      </c>
      <c r="G4" s="3" t="s">
        <v>101</v>
      </c>
      <c r="H4" s="3" t="str">
        <f>HYPERLINK("https://aerospace.org/person/brandon-bailey","Profile")</f>
        <v>Profile</v>
      </c>
      <c r="I4" s="3" t="str">
        <f>HYPERLINK("https://scholar.google.com/citations?user=mvbw_U0AAAAJ&amp;hl=en","Google Scholar")</f>
        <v>Google Scholar</v>
      </c>
      <c r="J4" s="3" t="s">
        <v>51</v>
      </c>
      <c r="K4" s="3" t="s">
        <v>96</v>
      </c>
      <c r="L4" s="3" t="s">
        <v>27</v>
      </c>
      <c r="M4" s="3"/>
      <c r="N4" s="3"/>
      <c r="O4" s="3"/>
      <c r="P4" s="3" t="s">
        <v>28</v>
      </c>
      <c r="Q4" s="3" t="str">
        <f>HYPERLINK("https://aerospace.org/person/brandon-bailey","Verification source")</f>
        <v>Verification source</v>
      </c>
    </row>
    <row r="5" spans="1:17" ht="27.6">
      <c r="A5" s="3" t="s">
        <v>102</v>
      </c>
      <c r="B5" s="3" t="s">
        <v>103</v>
      </c>
      <c r="C5" s="3" t="s">
        <v>104</v>
      </c>
      <c r="D5" s="3" t="s">
        <v>105</v>
      </c>
      <c r="E5" s="3" t="s">
        <v>106</v>
      </c>
      <c r="F5" s="3" t="s">
        <v>107</v>
      </c>
      <c r="G5" s="3" t="s">
        <v>108</v>
      </c>
      <c r="H5" s="3" t="str">
        <f>HYPERLINK("https://mstrohmeier.net/","Profile")</f>
        <v>Profile</v>
      </c>
      <c r="I5" s="3" t="str">
        <f>HYPERLINK("https://scholar.google.com/scholar?q=%22Martin+Strohmeier%22","Google Scholar")</f>
        <v>Google Scholar</v>
      </c>
      <c r="J5" s="3" t="s">
        <v>25</v>
      </c>
      <c r="K5" s="3" t="s">
        <v>96</v>
      </c>
      <c r="L5" s="3" t="s">
        <v>27</v>
      </c>
      <c r="M5" s="3"/>
      <c r="N5" s="3"/>
      <c r="O5" s="3"/>
      <c r="P5" s="3" t="s">
        <v>28</v>
      </c>
      <c r="Q5" s="3" t="str">
        <f>HYPERLINK("https://mstrohmeier.net/","Verification source")</f>
        <v>Verification source</v>
      </c>
    </row>
    <row r="6" spans="1:17" ht="27.6">
      <c r="A6" s="3" t="s">
        <v>109</v>
      </c>
      <c r="B6" s="3" t="s">
        <v>110</v>
      </c>
      <c r="C6" s="3" t="s">
        <v>111</v>
      </c>
      <c r="D6" s="3" t="s">
        <v>112</v>
      </c>
      <c r="E6" s="3" t="s">
        <v>113</v>
      </c>
      <c r="F6" s="3" t="s">
        <v>114</v>
      </c>
      <c r="G6" s="3" t="s">
        <v>115</v>
      </c>
      <c r="H6" s="3" t="str">
        <f>HYPERLINK("https://researchers.adelaide.edu.au/profile/jill.slay","Profile")</f>
        <v>Profile</v>
      </c>
      <c r="I6" s="3" t="str">
        <f>HYPERLINK("https://scholar.google.com/scholar?q=%22Jill+Slay%22","Google Scholar")</f>
        <v>Google Scholar</v>
      </c>
      <c r="J6" s="3" t="s">
        <v>25</v>
      </c>
      <c r="K6" s="3" t="s">
        <v>96</v>
      </c>
      <c r="L6" s="3" t="s">
        <v>27</v>
      </c>
      <c r="M6" s="3"/>
      <c r="N6" s="3"/>
      <c r="O6" s="3"/>
      <c r="P6" s="3" t="s">
        <v>28</v>
      </c>
      <c r="Q6" s="3" t="str">
        <f>HYPERLINK("https://researchers.adelaide.edu.au/profile/jill.slay","Verification source")</f>
        <v>Verification source</v>
      </c>
    </row>
    <row r="7" spans="1:17" ht="27.6">
      <c r="A7" s="3" t="s">
        <v>116</v>
      </c>
      <c r="B7" s="3" t="s">
        <v>117</v>
      </c>
      <c r="C7" s="3" t="s">
        <v>118</v>
      </c>
      <c r="D7" s="3" t="s">
        <v>119</v>
      </c>
      <c r="E7" s="3" t="s">
        <v>113</v>
      </c>
      <c r="F7" s="3" t="s">
        <v>120</v>
      </c>
      <c r="G7" s="3" t="s">
        <v>121</v>
      </c>
      <c r="H7" s="3" t="str">
        <f>HYPERLINK("https://www.polymtl.ca/expertises/en/karabulut-kurt-gunes","Profile")</f>
        <v>Profile</v>
      </c>
      <c r="I7" s="3" t="str">
        <f>HYPERLINK("https://scholar.google.com/scholar?q=%22Gunes+Karabulut-Kurt%22","Google Scholar")</f>
        <v>Google Scholar</v>
      </c>
      <c r="J7" s="3" t="s">
        <v>25</v>
      </c>
      <c r="K7" s="3" t="s">
        <v>96</v>
      </c>
      <c r="L7" s="3" t="s">
        <v>27</v>
      </c>
      <c r="M7" s="3"/>
      <c r="N7" s="3"/>
      <c r="O7" s="3"/>
      <c r="P7" s="3" t="s">
        <v>28</v>
      </c>
      <c r="Q7" s="3" t="str">
        <f>HYPERLINK("https://www.polymtl.ca/expertises/en/karabulut-kurt-gunes","Verification source")</f>
        <v>Verification source</v>
      </c>
    </row>
    <row r="8" spans="1:17" ht="27.6">
      <c r="A8" s="3" t="s">
        <v>122</v>
      </c>
      <c r="B8" s="3" t="s">
        <v>123</v>
      </c>
      <c r="C8" s="3" t="s">
        <v>124</v>
      </c>
      <c r="D8" s="3" t="s">
        <v>125</v>
      </c>
      <c r="E8" s="3" t="s">
        <v>113</v>
      </c>
      <c r="F8" s="3" t="s">
        <v>126</v>
      </c>
      <c r="G8" s="3" t="s">
        <v>127</v>
      </c>
      <c r="H8" s="3" t="str">
        <f>HYPERLINK("https://www.cs.ox.ac.uk/people/ivan.martinovic/","Profile")</f>
        <v>Profile</v>
      </c>
      <c r="I8" s="3" t="str">
        <f>HYPERLINK("https://scholar.google.com/scholar?q=%22Ivan+Martinovic%22","Google Scholar")</f>
        <v>Google Scholar</v>
      </c>
      <c r="J8" s="3" t="s">
        <v>25</v>
      </c>
      <c r="K8" s="3" t="s">
        <v>96</v>
      </c>
      <c r="L8" s="3" t="s">
        <v>27</v>
      </c>
      <c r="M8" s="3"/>
      <c r="N8" s="3"/>
      <c r="O8" s="3"/>
      <c r="P8" s="3" t="s">
        <v>28</v>
      </c>
      <c r="Q8" s="3" t="str">
        <f>HYPERLINK("https://www.cs.ox.ac.uk/people/ivan.martinovic/","Verification source")</f>
        <v>Verification source</v>
      </c>
    </row>
    <row r="9" spans="1:17" ht="27.6">
      <c r="A9" s="3" t="s">
        <v>128</v>
      </c>
      <c r="B9" s="3" t="s">
        <v>129</v>
      </c>
      <c r="C9" s="3" t="s">
        <v>130</v>
      </c>
      <c r="D9" s="3" t="s">
        <v>131</v>
      </c>
      <c r="E9" s="3" t="s">
        <v>113</v>
      </c>
      <c r="F9" s="3" t="s">
        <v>132</v>
      </c>
      <c r="G9" s="3" t="s">
        <v>133</v>
      </c>
      <c r="H9" s="3" t="str">
        <f>HYPERLINK("https://www.uni.lu/snt-en/people/vincent-lenders/","Profile")</f>
        <v>Profile</v>
      </c>
      <c r="I9" s="3" t="str">
        <f>HYPERLINK("https://scholar.google.com/scholar?q=%22Vincent+Lenders%22","Google Scholar")</f>
        <v>Google Scholar</v>
      </c>
      <c r="J9" s="3" t="s">
        <v>25</v>
      </c>
      <c r="K9" s="3" t="s">
        <v>96</v>
      </c>
      <c r="L9" s="3" t="s">
        <v>27</v>
      </c>
      <c r="M9" s="3"/>
      <c r="N9" s="3"/>
      <c r="O9" s="3"/>
      <c r="P9" s="3" t="s">
        <v>28</v>
      </c>
      <c r="Q9" s="3" t="str">
        <f>HYPERLINK("https://www.uni.lu/snt-en/people/vincent-lenders/","Verification source")</f>
        <v>Verification source</v>
      </c>
    </row>
    <row r="10" spans="1:17" ht="27.6">
      <c r="A10" s="3" t="s">
        <v>134</v>
      </c>
      <c r="B10" s="3" t="s">
        <v>73</v>
      </c>
      <c r="C10" s="3" t="s">
        <v>135</v>
      </c>
      <c r="D10" s="3" t="s">
        <v>21</v>
      </c>
      <c r="E10" s="3" t="s">
        <v>113</v>
      </c>
      <c r="F10" s="3" t="s">
        <v>136</v>
      </c>
      <c r="G10" s="3" t="s">
        <v>137</v>
      </c>
      <c r="H10" s="3" t="str">
        <f>HYPERLINK("https://www.research.vt.edu/initiatives/wireless/experts.html","Profile")</f>
        <v>Profile</v>
      </c>
      <c r="I10" s="3" t="str">
        <f>HYPERLINK("https://scholar.google.com/scholar?q=%22Jeffrey+Reed%22","Google Scholar")</f>
        <v>Google Scholar</v>
      </c>
      <c r="J10" s="3" t="s">
        <v>25</v>
      </c>
      <c r="K10" s="3" t="s">
        <v>96</v>
      </c>
      <c r="L10" s="3" t="s">
        <v>27</v>
      </c>
      <c r="M10" s="3"/>
      <c r="N10" s="3"/>
      <c r="O10" s="3"/>
      <c r="P10" s="3" t="s">
        <v>28</v>
      </c>
      <c r="Q10" s="3" t="str">
        <f>HYPERLINK("https://www.research.vt.edu/initiatives/wireless/experts.html","Verification source")</f>
        <v>Verification source</v>
      </c>
    </row>
    <row r="11" spans="1:17" ht="27.6">
      <c r="A11" s="3" t="s">
        <v>138</v>
      </c>
      <c r="B11" s="3" t="s">
        <v>139</v>
      </c>
      <c r="C11" s="3" t="s">
        <v>140</v>
      </c>
      <c r="D11" s="3" t="s">
        <v>125</v>
      </c>
      <c r="E11" s="3" t="s">
        <v>113</v>
      </c>
      <c r="F11" s="3" t="s">
        <v>141</v>
      </c>
      <c r="G11" s="3" t="s">
        <v>142</v>
      </c>
      <c r="H11" s="3" t="str">
        <f>HYPERLINK("https://warwick.ac.uk/fac/cross_fac/copr/people/","Profile")</f>
        <v>Profile</v>
      </c>
      <c r="I11" s="3" t="str">
        <f>HYPERLINK("https://scholar.google.com/scholar?q=%22Carsten+Maple%22","Google Scholar")</f>
        <v>Google Scholar</v>
      </c>
      <c r="J11" s="3" t="s">
        <v>25</v>
      </c>
      <c r="K11" s="3" t="s">
        <v>143</v>
      </c>
      <c r="L11" s="3" t="s">
        <v>61</v>
      </c>
      <c r="M11" s="3"/>
      <c r="N11" s="3"/>
      <c r="O11" s="3"/>
      <c r="P11" s="3" t="s">
        <v>28</v>
      </c>
      <c r="Q11" s="3" t="str">
        <f>HYPERLINK("https://warwick.ac.uk/fac/cross_fac/copr/people/","Verification source")</f>
        <v>Verification source</v>
      </c>
    </row>
    <row r="12" spans="1:17" ht="27.6">
      <c r="A12" s="3" t="s">
        <v>144</v>
      </c>
      <c r="B12" s="3" t="s">
        <v>145</v>
      </c>
      <c r="C12" s="3" t="s">
        <v>146</v>
      </c>
      <c r="D12" s="3" t="s">
        <v>147</v>
      </c>
      <c r="E12" s="3" t="s">
        <v>106</v>
      </c>
      <c r="F12" s="3" t="s">
        <v>148</v>
      </c>
      <c r="G12" s="3" t="s">
        <v>149</v>
      </c>
      <c r="H12" s="3" t="str">
        <f>HYPERLINK("https://nyuad.nyu.edu/en/academics/divisions/science/faculty/christina-popper.html","Profile")</f>
        <v>Profile</v>
      </c>
      <c r="I12" s="3" t="str">
        <f>HYPERLINK("https://scholar.google.com/citations?user=FVABA4cAAAAJ&amp;hl=en","Google Scholar")</f>
        <v>Google Scholar</v>
      </c>
      <c r="J12" s="3" t="s">
        <v>51</v>
      </c>
      <c r="K12" s="3" t="s">
        <v>143</v>
      </c>
      <c r="L12" s="3" t="s">
        <v>61</v>
      </c>
      <c r="M12" s="3"/>
      <c r="N12" s="3"/>
      <c r="O12" s="3"/>
      <c r="P12" s="3" t="s">
        <v>28</v>
      </c>
      <c r="Q12" s="3" t="str">
        <f>HYPERLINK("https://nyuad.nyu.edu/en/academics/divisions/science/faculty/christina-popper.html","Verification source")</f>
        <v>Verification source</v>
      </c>
    </row>
    <row r="13" spans="1:17" ht="27.6">
      <c r="A13" s="3" t="s">
        <v>150</v>
      </c>
      <c r="B13" s="3" t="s">
        <v>151</v>
      </c>
      <c r="C13" s="3" t="s">
        <v>152</v>
      </c>
      <c r="D13" s="3" t="s">
        <v>153</v>
      </c>
      <c r="E13" s="3" t="s">
        <v>154</v>
      </c>
      <c r="F13" s="3" t="s">
        <v>155</v>
      </c>
      <c r="G13" s="3" t="s">
        <v>156</v>
      </c>
      <c r="H13" s="3" t="str">
        <f>HYPERLINK("https://profiles.cispa.de/c02alab","Profile")</f>
        <v>Profile</v>
      </c>
      <c r="I13" s="3" t="str">
        <f>HYPERLINK("https://scholar.google.com/scholar?q=%22Ali+Abbasi%22","Google Scholar")</f>
        <v>Google Scholar</v>
      </c>
      <c r="J13" s="3" t="s">
        <v>25</v>
      </c>
      <c r="K13" s="3" t="s">
        <v>143</v>
      </c>
      <c r="L13" s="3" t="s">
        <v>61</v>
      </c>
      <c r="M13" s="3"/>
      <c r="N13" s="3"/>
      <c r="O13" s="3"/>
      <c r="P13" s="3" t="s">
        <v>28</v>
      </c>
      <c r="Q13" s="3" t="str">
        <f>HYPERLINK("https://profiles.cispa.de/c02alab","Verification source")</f>
        <v>Verification source</v>
      </c>
    </row>
    <row r="14" spans="1:17" ht="27.6">
      <c r="A14" s="3" t="s">
        <v>157</v>
      </c>
      <c r="B14" s="3" t="s">
        <v>158</v>
      </c>
      <c r="C14" s="3" t="s">
        <v>159</v>
      </c>
      <c r="D14" s="3" t="s">
        <v>153</v>
      </c>
      <c r="E14" s="3" t="s">
        <v>22</v>
      </c>
      <c r="F14" s="3" t="s">
        <v>160</v>
      </c>
      <c r="G14" s="3" t="s">
        <v>161</v>
      </c>
      <c r="H14" s="3" t="str">
        <f>HYPERLINK("https://jwillbold.com/","Profile")</f>
        <v>Profile</v>
      </c>
      <c r="I14" s="3" t="str">
        <f>HYPERLINK("https://scholar.google.com/scholar?q=%22Johannes+Willbold%22","Google Scholar")</f>
        <v>Google Scholar</v>
      </c>
      <c r="J14" s="3" t="s">
        <v>25</v>
      </c>
      <c r="K14" s="3" t="s">
        <v>162</v>
      </c>
      <c r="L14" s="3" t="s">
        <v>61</v>
      </c>
      <c r="M14" s="3"/>
      <c r="N14" s="3"/>
      <c r="O14" s="3"/>
      <c r="P14" s="3" t="s">
        <v>28</v>
      </c>
      <c r="Q14" s="3" t="str">
        <f>HYPERLINK("https://jwillbold.com/","Verification source")</f>
        <v>Verification source</v>
      </c>
    </row>
    <row r="15" spans="1:17" ht="41.4">
      <c r="A15" s="3" t="s">
        <v>163</v>
      </c>
      <c r="B15" s="3" t="s">
        <v>164</v>
      </c>
      <c r="C15" s="3" t="s">
        <v>165</v>
      </c>
      <c r="D15" s="3" t="s">
        <v>21</v>
      </c>
      <c r="E15" s="3" t="s">
        <v>113</v>
      </c>
      <c r="F15" s="3" t="s">
        <v>166</v>
      </c>
      <c r="G15" s="3" t="s">
        <v>167</v>
      </c>
      <c r="H15" s="3" t="str">
        <f>HYPERLINK("https://www.sri.com/people/ulf-lindqvist/","Profile")</f>
        <v>Profile</v>
      </c>
      <c r="I15" s="3" t="str">
        <f>HYPERLINK("https://scholar.google.com/scholar?q=%22Ulf+Lindqvist%22","Google Scholar")</f>
        <v>Google Scholar</v>
      </c>
      <c r="J15" s="3" t="s">
        <v>25</v>
      </c>
      <c r="K15" s="3" t="s">
        <v>143</v>
      </c>
      <c r="L15" s="3" t="s">
        <v>61</v>
      </c>
      <c r="M15" s="3"/>
      <c r="N15" s="3"/>
      <c r="O15" s="3"/>
      <c r="P15" s="3" t="s">
        <v>28</v>
      </c>
      <c r="Q15" s="3" t="str">
        <f>HYPERLINK("https://www.sri.com/people/ulf-lindqvist/","Verification source")</f>
        <v>Verification source</v>
      </c>
    </row>
    <row r="16" spans="1:17" ht="27.6">
      <c r="A16" s="3" t="s">
        <v>168</v>
      </c>
      <c r="B16" s="3" t="s">
        <v>169</v>
      </c>
      <c r="C16" s="3" t="s">
        <v>170</v>
      </c>
      <c r="D16" s="3" t="s">
        <v>21</v>
      </c>
      <c r="E16" s="3" t="s">
        <v>154</v>
      </c>
      <c r="F16" s="3" t="s">
        <v>171</v>
      </c>
      <c r="G16" s="3" t="s">
        <v>172</v>
      </c>
      <c r="H16" s="3" t="str">
        <f>HYPERLINK("https://engineering.nyu.edu/faculty/quanyan-zhu","Profile")</f>
        <v>Profile</v>
      </c>
      <c r="I16" s="3" t="str">
        <f>HYPERLINK("https://scholar.google.com/scholar?q=%22Quanyan+Zhu%22","Google Scholar")</f>
        <v>Google Scholar</v>
      </c>
      <c r="J16" s="3" t="s">
        <v>25</v>
      </c>
      <c r="K16" s="3" t="s">
        <v>143</v>
      </c>
      <c r="L16" s="3" t="s">
        <v>61</v>
      </c>
      <c r="M16" s="3"/>
      <c r="N16" s="3"/>
      <c r="O16" s="3"/>
      <c r="P16" s="3" t="s">
        <v>28</v>
      </c>
      <c r="Q16" s="3" t="str">
        <f>HYPERLINK("https://engineering.nyu.edu/faculty/quanyan-zhu","Verification source")</f>
        <v>Verification source</v>
      </c>
    </row>
  </sheetData>
  <mergeCells count="1">
    <mergeCell ref="A1:Q1"/>
  </mergeCells>
  <conditionalFormatting sqref="L3:L16">
    <cfRule type="expression" dxfId="4" priority="1">
      <formula>L3="A"</formula>
    </cfRule>
    <cfRule type="expression" dxfId="3" priority="2">
      <formula>L3="B"</formula>
    </cfRule>
    <cfRule type="expression" dxfId="2" priority="3">
      <formula>L3="C"</formula>
    </cfRule>
  </conditionalFormatting>
  <conditionalFormatting sqref="P3:P16">
    <cfRule type="expression" dxfId="1" priority="4">
      <formula>P3="Invite"</formula>
    </cfRule>
    <cfRule type="expression" dxfId="0" priority="5">
      <formula>P3="Do not invite"</formula>
    </cfRule>
  </conditionalFormatting>
  <dataValidations count="4">
    <dataValidation type="list" sqref="L3:L16" xr:uid="{00000000-0002-0000-0100-000000000000}">
      <formula1>"A,B,C,Remove"</formula1>
    </dataValidation>
    <dataValidation type="list" sqref="M3:M16" xr:uid="{00000000-0002-0000-0100-000001000000}">
      <formula1>"High,Medium,Low,Unknown"</formula1>
    </dataValidation>
    <dataValidation type="list" sqref="O3:O16" xr:uid="{00000000-0002-0000-0100-000002000000}">
      <formula1>"Strong support,Support,Neutral,Concern,Not reviewed"</formula1>
    </dataValidation>
    <dataValidation type="list" sqref="P3:P16" xr:uid="{00000000-0002-0000-0100-000003000000}">
      <formula1>"Invite,Hold,Do not invite,Need more info,Under review"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selection sqref="A1:F1"/>
    </sheetView>
  </sheetViews>
  <sheetFormatPr defaultRowHeight="13.8"/>
  <cols>
    <col min="1" max="1" width="24" customWidth="1"/>
    <col min="2" max="2" width="80" customWidth="1"/>
  </cols>
  <sheetData>
    <row r="1" spans="1:6" ht="22.35" customHeight="1">
      <c r="A1" s="7" t="s">
        <v>173</v>
      </c>
      <c r="B1" s="7"/>
      <c r="C1" s="7"/>
      <c r="D1" s="7"/>
      <c r="E1" s="7"/>
      <c r="F1" s="7"/>
    </row>
    <row r="3" spans="1:6">
      <c r="A3" s="5" t="s">
        <v>174</v>
      </c>
      <c r="B3" s="5" t="s">
        <v>175</v>
      </c>
    </row>
    <row r="4" spans="1:6">
      <c r="A4" s="1" t="s">
        <v>12</v>
      </c>
      <c r="B4" s="1" t="s">
        <v>176</v>
      </c>
    </row>
    <row r="5" spans="1:6">
      <c r="A5" s="1" t="s">
        <v>13</v>
      </c>
      <c r="B5" s="1" t="s">
        <v>177</v>
      </c>
    </row>
    <row r="6" spans="1:6">
      <c r="A6" s="1" t="s">
        <v>14</v>
      </c>
      <c r="B6" s="1" t="s">
        <v>178</v>
      </c>
    </row>
    <row r="7" spans="1:6">
      <c r="A7" s="1" t="s">
        <v>15</v>
      </c>
      <c r="B7" s="1" t="s">
        <v>179</v>
      </c>
    </row>
    <row r="8" spans="1:6">
      <c r="A8" s="1" t="s">
        <v>16</v>
      </c>
      <c r="B8" s="1" t="s">
        <v>180</v>
      </c>
    </row>
    <row r="9" spans="1:6" ht="27.6">
      <c r="A9" s="1" t="s">
        <v>10</v>
      </c>
      <c r="B9" s="1" t="s">
        <v>181</v>
      </c>
    </row>
    <row r="10" spans="1:6">
      <c r="A10" s="1" t="s">
        <v>5</v>
      </c>
      <c r="B10" s="1" t="s">
        <v>182</v>
      </c>
    </row>
    <row r="11" spans="1:6" ht="27.6">
      <c r="A11" s="1" t="s">
        <v>6</v>
      </c>
      <c r="B11" s="1" t="s">
        <v>183</v>
      </c>
    </row>
    <row r="13" spans="1:6">
      <c r="A13" s="4" t="s">
        <v>184</v>
      </c>
      <c r="B13" s="4"/>
      <c r="C13" s="4"/>
      <c r="D13" s="4"/>
      <c r="E13" s="4"/>
      <c r="F13" s="4"/>
    </row>
    <row r="14" spans="1:6">
      <c r="A14" t="s">
        <v>185</v>
      </c>
    </row>
    <row r="15" spans="1:6">
      <c r="A15" t="s">
        <v>186</v>
      </c>
    </row>
    <row r="16" spans="1:6">
      <c r="A16" t="s">
        <v>187</v>
      </c>
    </row>
    <row r="17" spans="1:1">
      <c r="A17" t="s">
        <v>188</v>
      </c>
    </row>
    <row r="18" spans="1:1">
      <c r="A18" t="s">
        <v>189</v>
      </c>
    </row>
    <row r="19" spans="1:1">
      <c r="A19" t="s">
        <v>190</v>
      </c>
    </row>
    <row r="20" spans="1:1">
      <c r="A20" t="s">
        <v>191</v>
      </c>
    </row>
    <row r="21" spans="1:1">
      <c r="A21" t="s">
        <v>192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Organizing Committee</vt:lpstr>
      <vt:lpstr>Advisory Committee</vt:lpstr>
      <vt:lpstr>Review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John Oughton</dc:creator>
  <cp:lastModifiedBy>Edward John Oughton</cp:lastModifiedBy>
  <dcterms:created xsi:type="dcterms:W3CDTF">2026-09-10T15:13:26Z</dcterms:created>
  <dcterms:modified xsi:type="dcterms:W3CDTF">2026-09-10T15:13:29Z</dcterms:modified>
</cp:coreProperties>
</file>